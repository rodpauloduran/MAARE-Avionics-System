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ts &amp; Costs" sheetId="1" state="visible" r:id="rId3"/>
    <sheet name="Store Summary" sheetId="2" state="visible" r:id="rId4"/>
    <sheet name="Phasing" sheetId="3" state="visible" r:id="rId5"/>
    <sheet name="Still Needed" sheetId="4" state="visible" r:id="rId6"/>
    <sheet name="Design 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<sst xmlns="http://schemas.openxmlformats.org/spreadsheetml/2006/main" count="351" uniqueCount="254">
  <si>
    <t xml:space="preserve">Water Pressure Rocket — Avionics Bill of Materials</t>
  </si>
  <si>
    <t xml:space="preserve">Prices as shown in the shopping carts on 04 Aug 2026. Stores: Circuit Rocks (Manila) and Makerlab PH (Manila). Shipping and tax not included. Phase 1 = minimum viable flight computer; Phase 2 = full telemetry / research payload.</t>
  </si>
  <si>
    <t xml:space="preserve">Category</t>
  </si>
  <si>
    <t xml:space="preserve">Item</t>
  </si>
  <si>
    <t xml:space="preserve">Store</t>
  </si>
  <si>
    <t xml:space="preserve">SKU</t>
  </si>
  <si>
    <t xml:space="preserve">Qty</t>
  </si>
  <si>
    <t xml:space="preserve">Unit Price</t>
  </si>
  <si>
    <t xml:space="preserve">Line Total</t>
  </si>
  <si>
    <t xml:space="preserve">Phase</t>
  </si>
  <si>
    <t xml:space="preserve">What it does</t>
  </si>
  <si>
    <t xml:space="preserve">Why this part</t>
  </si>
  <si>
    <t xml:space="preserve">Alternatives / notes</t>
  </si>
  <si>
    <t xml:space="preserve">Product Link</t>
  </si>
  <si>
    <t xml:space="preserve">Compute</t>
  </si>
  <si>
    <t xml:space="preserve">Raspberry Pi Pico (with headers)</t>
  </si>
  <si>
    <t xml:space="preserve">Makerlab</t>
  </si>
  <si>
    <t xml:space="preserve">—</t>
  </si>
  <si>
    <t xml:space="preserve">Flight computer. Runs the sensor loop, state machine and deployment logic.</t>
  </si>
  <si>
    <t xml:space="preserve">264 KB RAM holds the entire 10 s flight in memory, so nothing is written to flash during the 50 g boost. Dual core lets the radio run isolated from the timing-critical sensor loop.</t>
  </si>
  <si>
    <t xml:space="preserve">RP2040-Zero (more GPIO, smaller); XIAO RP2040 (lightest). Rejected: ATmega328 Nano (2 KB RAM, cannot buffer a flight) and ESP32 (radio stack causes interrupt jitter). Plain Pico, not W — WiFi is dead weight in the nose and the CYW43 chip takes GP23/24/25/29.</t>
  </si>
  <si>
    <t xml:space="preserve">Open product page</t>
  </si>
  <si>
    <t xml:space="preserve">Raspberry Pi Pico W (ground station)</t>
  </si>
  <si>
    <t xml:space="preserve">MLE04027</t>
  </si>
  <si>
    <t xml:space="preserve">Ground station receiver. Takes the LoRa downlink and serves it to your phone over WiFi.</t>
  </si>
  <si>
    <t xml:space="preserve">On the ground, mass and pin pressure don't apply, so the WiFi earns its keep: run a soft AP, connect your phone, watch live altitude with no laptop in the field. LoRa sits on SPI0 (GP16–19) so there is no clash with the CYW43 pins.</t>
  </si>
  <si>
    <t xml:space="preserve">Heltec WiFi LoRa 32 / TTGO LoRa32 (~₱1,200–1,800) bundles ESP32 + SX1276 + OLED in one board and would replace this plus one RFM95W. NOTE: the with-headers variant (₱575) is sold out; ₱590 is the without-headers price.</t>
  </si>
  <si>
    <t xml:space="preserve">Sensor</t>
  </si>
  <si>
    <t xml:space="preserve">GY-63 MS5611-01BA03 barometer</t>
  </si>
  <si>
    <t xml:space="preserve">Circuit Rocks</t>
  </si>
  <si>
    <t xml:space="preserve">AB034</t>
  </si>
  <si>
    <t xml:space="preserve">Primary altimeter and apogee detector. Peak-and-drop logic fires the parachute.</t>
  </si>
  <si>
    <t xml:space="preserve">~10 cm resolution at ~100 Hz. Its two error sources (dynamic pressure and inertial gradient) scale with velocity and acceleration, so both vanish at apogee — exactly where the reading matters.</t>
  </si>
  <si>
    <t xml:space="preserve">BMP390 (~5 cm, 200 Hz) is marginally better. BMP280 (~1 m) is flyable with a widened threshold. MPL3115A2 rejected: max ~1–10 Hz gives only 3–30 samples on a 3 s ascent.</t>
  </si>
  <si>
    <t xml:space="preserve">Pololu MinIMU-9 v6 (LSM6DSO + LIS3MDL)</t>
  </si>
  <si>
    <t xml:space="preserve">POL2862</t>
  </si>
  <si>
    <t xml:space="preserve">Coast-phase acceleration, gyro attitude, magnetometer heading. Tilt-based apogee backup and flight-path reconstruction.</t>
  </si>
  <si>
    <t xml:space="preserve">Gyros are the only source of orientation — no accelerometer can supply it. ±16 g gives fine resolution once boost forces are gone. Proper regulator, level shifting and decoupling, unlike clone boards.</t>
  </si>
  <si>
    <t xml:space="preserve">HW-123 / MPU-6050 at ~₱150 is adequate for a 10 s flight and saves ~₱2,100. ICM-42688-P (±4000 dps) is the real fix if the airframe spins past the ±2000 dps ceiling.</t>
  </si>
  <si>
    <t xml:space="preserve">Adafruit ADXL375 high-g accelerometer ±200 g</t>
  </si>
  <si>
    <t xml:space="preserve">5374</t>
  </si>
  <si>
    <t xml:space="preserve">Boost-phase acceleration, launch detection, burnout timing.</t>
  </si>
  <si>
    <t xml:space="preserve">The only sensor that does not saturate during the 0.2–0.4 s burn at 20–100 g. Everything else clips at ±16 g and records a flat plateau.</t>
  </si>
  <si>
    <t xml:space="preserve">H3LIS331DL (±100/200/400 g) is cheaper with selectable range. Not required for flight 1 — the IMU still detects launch, it just clips. NOTE: ADXL345 is only ±16 g and cannot do this job.</t>
  </si>
  <si>
    <t xml:space="preserve">SparkFun GPS Breakout SAM-M8Q (u-blox)</t>
  </si>
  <si>
    <t xml:space="preserve">GPS-15210</t>
  </si>
  <si>
    <t xml:space="preserve">Landing coordinates. A recovery beacon, not a flight sensor — it will lose lock at launch and take 5–15 s to reacquire.</t>
  </si>
  <si>
    <t xml:space="preserve">Integrated antenna with u-blox's own RF design removes the commonest silent failure mode. Multi-GNSS including QZSS, which covers the Philippines well. Backup battery gives fast hot starts between flights.</t>
  </si>
  <si>
    <t xml:space="preserve">Adafruit Ultimate GPS (GPS-only, 34 s warm start, smaller board, no airborne dynamic model). ZOE-M8Q if the 40×40 mm footprint won't fit the nose cone.</t>
  </si>
  <si>
    <t xml:space="preserve">Radio</t>
  </si>
  <si>
    <t xml:space="preserve">Adafruit RFM95W LoRa Breakout 868/915 MHz</t>
  </si>
  <si>
    <t xml:space="preserve">Live telemetry downlink plus post-landing position beacon. One unit flies, one is the ground station.</t>
  </si>
  <si>
    <t xml:space="preserve">LoRa spread spectrum buys ~10–20 dB of link budget over FSK — decisive when the rocket lands in wet grass with its antenna horizontal. SX1276 tunes 862–1020 MHz, so frequency is a firmware choice.</t>
  </si>
  <si>
    <t xml:space="preserve">RFM69HCW (FSK, ~500 m) if LoRa is out of stock — adequate at your ranges. RFM96W is 433 MHz and will NOT tune to 868 properly. See the Design Notes sheet before setting frequency.</t>
  </si>
  <si>
    <t xml:space="preserve">Recovery</t>
  </si>
  <si>
    <t xml:space="preserve">MG90D metal-gear micro servo, 180°, 1.8 kg</t>
  </si>
  <si>
    <t xml:space="preserve">AF016</t>
  </si>
  <si>
    <t xml:space="preserve">Pulls the latch pin that releases the nose cone / parachute bay.</t>
  </si>
  <si>
    <t xml:space="preserve">Positional (not continuous-rotation) so it moves to a commanded angle and holds. Metal gears survive the 50 g boost and hard landings where plastic gears strip.</t>
  </si>
  <si>
    <t xml:space="preserve">SG90 (plastic gears, cheaper, less shock-tolerant). Nichrome burn-wire as an independent backup channel. AVOID the 360° MG90D — it takes speed commands, not angles.</t>
  </si>
  <si>
    <t xml:space="preserve">LS3040 piezo buzzer (4 kHz, 2 mA)</t>
  </si>
  <si>
    <t xml:space="preserve">Audible locator on landing; arming and status confirmation on the pad.</t>
  </si>
  <si>
    <t xml:space="preserve">4 kHz sits near peak human hearing sensitivity. 2 mA draw means it can chirp for hours. The cheapest genuinely useful part on the board — it works when the radio doesn't.</t>
  </si>
  <si>
    <t xml:space="preserve">Active buzzer module (2.3 kHz, 25 mA, onboard transistor). This unit is active, so no frequency sweep — use chirp patterns instead, which gives most of the localisation benefit.</t>
  </si>
  <si>
    <t xml:space="preserve">Safety</t>
  </si>
  <si>
    <t xml:space="preserve">Reed switch 2×14 mm normally-open (10 pcs)</t>
  </si>
  <si>
    <t xml:space="preserve">AL040</t>
  </si>
  <si>
    <t xml:space="preserve">Arming switch. Separates 'powered on' from 'deployment live'.</t>
  </si>
  <si>
    <t xml:space="preserve">Sealed inside the airframe, actuated by a magnet from outside — no hole to admit water, nothing protruding to snap off. Prevents the servo firing while your hands are in the bay packing the chute.</t>
  </si>
  <si>
    <t xml:space="preserve">Nylon screw switch (latching, visible armed state). Hall effect sensor (no moving parts, immune to vibration) if reeds prove fragile. Pack of 10 because the glass envelope cracks easily.</t>
  </si>
  <si>
    <t xml:space="preserve">Neodymium magnet N35 8×5 mm</t>
  </si>
  <si>
    <t xml:space="preserve">2775</t>
  </si>
  <si>
    <t xml:space="preserve">Actuates the reed switch through the nose cone wall.</t>
  </si>
  <si>
    <t xml:space="preserve">Comfortably strong enough to close a 14 mm reed at a few centimetres through plastic. Tape it in place to arm; peel it off to disarm on recovery.</t>
  </si>
  <si>
    <t xml:space="preserve">Any N35+ neodymium of similar size. Keep it well away from the LIS3MDL magnetometer and the LiPo.</t>
  </si>
  <si>
    <t xml:space="preserve">Power</t>
  </si>
  <si>
    <t xml:space="preserve">PKCell 500 mAh LiPo 3.7 V (LP503035)</t>
  </si>
  <si>
    <t xml:space="preserve">Powers the flight computer. Feeds Pico VSYS directly, no regulator needed.</t>
  </si>
  <si>
    <t xml:space="preserve">~5 h runtime at ~100 mA draw, and only 10.5 g. Integrated protection circuitry (over-charge, over-discharge, short). Genuine JST-PH connector.</t>
  </si>
  <si>
    <t xml:space="preserve">Rejected: 2×18650 (~90 g, 30 h runtime, needs a buck converter) — 15× the energy at 12× the mass, and nose mass directly costs apogee. Hard-mount in foam; never let it float loose.</t>
  </si>
  <si>
    <t xml:space="preserve">Adafruit Micro LiPo Charger (MCP73831, micro-USB)</t>
  </si>
  <si>
    <t xml:space="preserve">1904</t>
  </si>
  <si>
    <t xml:space="preserve">Charges the flight battery off any USB port.</t>
  </si>
  <si>
    <t xml:space="preserve">Jumper-selectable 100/500 mA — set 500 mA for exactly 1 C on this cell, with no SMD resistor surgery. JST-PH connector already fitted, so it mates with the battery directly and there is no polarity risk.</t>
  </si>
  <si>
    <t xml:space="preserve">TP4056 module (~₱60) is far cheaper but ships at 1 A and needs its R_prog resistor swapped from 1.2 kΩ to 2.4 kΩ, plus a soldered JST pigtail. Take the USB-C variant if stocked.</t>
  </si>
  <si>
    <t xml:space="preserve">Capacitor electrolytic 220 µF 16 V (10 pcs)</t>
  </si>
  <si>
    <t xml:space="preserve">2192</t>
  </si>
  <si>
    <t xml:space="preserve">Bulk decoupling at the servo power pins and at the LoRa module.</t>
  </si>
  <si>
    <t xml:space="preserve">Servo inrush and LoRa transmit spikes are the classic cause of mysterious Pico resets and brownouts mid-flight.</t>
  </si>
  <si>
    <t xml:space="preserve">Any 220–470 µF, ≥10 V. Also add 100 nF ceramics at each IC — not yet in either cart.</t>
  </si>
  <si>
    <t xml:space="preserve">Resistor 100 kΩ 5% 1/4 W (10 pcs)</t>
  </si>
  <si>
    <t xml:space="preserve">2787</t>
  </si>
  <si>
    <t xml:space="preserve">2:1 divider for battery voltage telemetry into GP26 (ADC).</t>
  </si>
  <si>
    <t xml:space="preserve">Lets the LoRa packet report battery voltage, so you know the rocket is healthy before pressurising to 120 psi.</t>
  </si>
  <si>
    <t xml:space="preserve">Any matched pair from 10 kΩ to 100 kΩ. Higher values draw less standby current.</t>
  </si>
  <si>
    <t xml:space="preserve">Build</t>
  </si>
  <si>
    <t xml:space="preserve">FR4 universal protoboard, double-sided, 5×7 cm</t>
  </si>
  <si>
    <t xml:space="preserve">Flight avionics stack — two decks joined by M3 nylon standoffs.</t>
  </si>
  <si>
    <t xml:space="preserve">FR4 with plated-through holes, NOT phenolic/bakelite: phenolic pads lift off under 50 g shock. Two 5×7 decks fit a tapering nose cone far better than one 7×9 slab.</t>
  </si>
  <si>
    <t xml:space="preserve">Lower deck: Pico, power, MOSFET, buzzer, servo header. Upper deck: sensors, GPS antenna facing up, LoRa antenna routed away from the GPS.</t>
  </si>
  <si>
    <t xml:space="preserve">FR4 universal protoboard, double-sided, 6×8 cm</t>
  </si>
  <si>
    <t xml:space="preserve">Ground station board (receiver Pico + LoRa + optional OLED).</t>
  </si>
  <si>
    <t xml:space="preserve">Mass and size are irrelevant on the ground, so the larger board gives easier layout.</t>
  </si>
  <si>
    <t xml:space="preserve">Buy spares of both sizes — you will botch a layout at least once and want to redo it.</t>
  </si>
  <si>
    <t xml:space="preserve">Breadboard 400 tie-point</t>
  </si>
  <si>
    <t xml:space="preserve">AJ329</t>
  </si>
  <si>
    <t xml:space="preserve">Bench prototyping before anything is soldered.</t>
  </si>
  <si>
    <t xml:space="preserve">One 400-point board holds a Pico and roughly one breakout. Five modules need two boards minimum.</t>
  </si>
  <si>
    <t xml:space="preserve">An 830-point board is a better single purchase. Bring devices up ONE at a time and run an I2C scanner after each addition.</t>
  </si>
  <si>
    <t xml:space="preserve">40-pin jumper wires, 20 cm male-male</t>
  </si>
  <si>
    <t xml:space="preserve">Breadboard interconnects.</t>
  </si>
  <si>
    <t xml:space="preserve">Standard prototyping consumable.</t>
  </si>
  <si>
    <t xml:space="preserve">Solid-core 22 AWG hookup wire gives much cleaner, shorter runs — worth having for debugging.</t>
  </si>
  <si>
    <t xml:space="preserve">40-pin jumper wires, 20 cm male-female</t>
  </si>
  <si>
    <t xml:space="preserve">Connecting modules that end up with female headers.</t>
  </si>
  <si>
    <t xml:space="preserve">You need both genders; several breakouts ship headers loose so the choice is yours at soldering time.</t>
  </si>
  <si>
    <t xml:space="preserve">Adafruit JST-PH switched 2-pin SMT right-angle (1863)</t>
  </si>
  <si>
    <t xml:space="preserve">1863</t>
  </si>
  <si>
    <t xml:space="preserve">Battery connector AND power switch in one part. The LiPo plugs in; a slide switch cuts the output.</t>
  </si>
  <si>
    <t xml:space="preserve">Solves two problems with one 2 g part and no hole in the airframe. Right-angle SMT keeps it low-profile on the lower deck, and the switch is inboard so nothing protrudes to snap off or admit water.</t>
  </si>
  <si>
    <t xml:space="preserve">This replaces the need for a separate panel-mount power switch on the rocket. Alternative: no power switch at all — unplugging the JST is a perfectly good disconnect.</t>
  </si>
  <si>
    <t xml:space="preserve">JST-PH 2.0 mm 2-pin female cable, 100 mm 26 AWG (10 pcs)</t>
  </si>
  <si>
    <t xml:space="preserve">MLE07290</t>
  </si>
  <si>
    <t xml:space="preserve">Pigtails for wiring the battery into the flight board and for bench test leads.</t>
  </si>
  <si>
    <t xml:space="preserve">2.0 mm PH pitch — matches the PKCell battery and the Adafruit charger. 26 AWG is good for ~2 A, well past the 700 mA servo spike.</t>
  </si>
  <si>
    <t xml:space="preserve">Do NOT buy JST RCY: it is 2.5 mm pitch and will not mate. Meter the pigtail against the battery before soldering — cheap cables occasionally have red/black swapped relative to the housing key.</t>
  </si>
  <si>
    <t xml:space="preserve">JST-PH 2.0 mm 2-pin angled shrouded male header (25 pcs)</t>
  </si>
  <si>
    <t xml:space="preserve">MLE07362</t>
  </si>
  <si>
    <t xml:space="preserve">Board-mount sockets on the protoboard for the battery and any other detachable subassembly.</t>
  </si>
  <si>
    <t xml:space="preserve">Right-angle keeps the connector flat against the deck instead of standing proud. Shrouded housing is polarised, so reverse-polarity insertion is physically impossible.</t>
  </si>
  <si>
    <t xml:space="preserve">25 pieces is far more than this build needs, but it makes every future project's battery connector free.</t>
  </si>
  <si>
    <t xml:space="preserve">Solder wire 0.6 mm 63/37 rosin core</t>
  </si>
  <si>
    <t xml:space="preserve">TOL-10242</t>
  </si>
  <si>
    <t xml:space="preserve">Soldering headers onto every breakout, plus all board wiring.</t>
  </si>
  <si>
    <t xml:space="preserve">0.6 mm is the right size for through-hole header work — feeds fast enough not to overheat pads, fine enough for occasional SMD. 63/37 is eutectic: no plastic phase, so fewer cold joints while learning.</t>
  </si>
  <si>
    <t xml:space="preserve">0.4 mm is SMD-focused and tedious on header pins; 1.0 mm bridges adjacent pins. Rejected both. Set the iron to ~330 °C. Buy a flux pen separately — it makes header joints dramatically easier.</t>
  </si>
  <si>
    <t xml:space="preserve">Mini panel-mount SPDT toggle switch</t>
  </si>
  <si>
    <t xml:space="preserve">3221</t>
  </si>
  <si>
    <t xml:space="preserve">Power switch for the ground station field box.</t>
  </si>
  <si>
    <t xml:space="preserve">Latching SPDT, rated far beyond the ~100 mA load. On a table-mounted receiver its 5 g mass and 6 mm hole are irrelevant, and a physical toggle is what you want for power.</t>
  </si>
  <si>
    <t xml:space="preserve">Deliberately NOT used on the rocket: 5 g, 33 mm long, and a 6 mm hole in an airframe that lands in wet grass. The switched JST breakout handles rocket power instead.</t>
  </si>
  <si>
    <t xml:space="preserve">40-pin jumper wires, 20 cm (third variant)</t>
  </si>
  <si>
    <t xml:space="preserve">Third gender of jumper wire — likely female-female, confirm the variant at checkout.</t>
  </si>
  <si>
    <t xml:space="preserve">Completes the set so any module-to-module or module-to-breadboard connection is possible without improvising.</t>
  </si>
  <si>
    <t xml:space="preserve">Verify which gender this variant is before ordering; the product slug is shared across all three.</t>
  </si>
  <si>
    <t xml:space="preserve">GRAND TOTAL (both stores)</t>
  </si>
  <si>
    <t xml:space="preserve">   Circuit Rocks subtotal</t>
  </si>
  <si>
    <t xml:space="preserve">   Makerlab subtotal</t>
  </si>
  <si>
    <t xml:space="preserve">Phase 1 subtotal — minimum viable flight computer</t>
  </si>
  <si>
    <t xml:space="preserve">Phase 2 subtotal — GPS, IMU, high-g accel, LoRa pair</t>
  </si>
  <si>
    <t xml:space="preserve">ASSUMPTION: the Makerlab cart displays a ₱25.00 / ₱35.00 unit price for the two protoboard sizes but a line total of ₱25.00 / ₱35.00 at qty 2. Unit price is entered here as ₱12.50 / ₱17.50 so the sheet reconciles with the ₱4,543.00 subtotal shown in the cart. Verify at checkout — this may be a cart display bug.</t>
  </si>
  <si>
    <t xml:space="preserve">Blue cells are hardcoded inputs (prices copied from the carts, 04 Aug 2026). Black cells are formulas.</t>
  </si>
  <si>
    <t xml:space="preserve">Cost by Store</t>
  </si>
  <si>
    <t xml:space="preserve">Calculated totals cross-checked against the subtotals displayed in each shopping cart.</t>
  </si>
  <si>
    <t xml:space="preserve">Location / terms</t>
  </si>
  <si>
    <t xml:space="preserve">Units</t>
  </si>
  <si>
    <t xml:space="preserve">Current Subtotal</t>
  </si>
  <si>
    <t xml:space="preserve">Original Cart (04 Aug)</t>
  </si>
  <si>
    <t xml:space="preserve">Added Since</t>
  </si>
  <si>
    <t xml:space="preserve">Manila — same-day ship before 4 PM; free shipping unlocked</t>
  </si>
  <si>
    <t xml:space="preserve">Makerlab Manila — tax included, shipping at checkout</t>
  </si>
  <si>
    <t xml:space="preserve">TOTAL</t>
  </si>
  <si>
    <t xml:space="preserve">'Original Cart (04 Aug)' is the subtotal each cart displayed before this revision (Circuit Rocks ₱8,255.00; Makerlab ₱4,543.00). 'Added Since' is the net change from dropping the second plain Pico and adding the Pico W, JST-PH connectors, switched battery breakout, SPDT toggle, solder wire and the third jumper variant. Neither figure includes shipping.</t>
  </si>
  <si>
    <t xml:space="preserve">Build Phasing — Risk vs Cost</t>
  </si>
  <si>
    <t xml:space="preserve">Water rocket recovery fails often on early flights. Flying a cheap configuration first proves the airframe, chute packing and deployment mechanism before expensive sensors are exposed to a hard landing.</t>
  </si>
  <si>
    <t xml:space="preserve">Contents</t>
  </si>
  <si>
    <t xml:space="preserve">Cost</t>
  </si>
  <si>
    <t xml:space="preserve">% of Total</t>
  </si>
  <si>
    <t xml:space="preserve">Rationale</t>
  </si>
  <si>
    <t xml:space="preserve">Phase 1</t>
  </si>
  <si>
    <t xml:space="preserve">Pico ×2, MS5611 barometer, servo, buzzer, reed switch + magnet, LiPo + charger, passives, protoboard, breadboards, jumper wires</t>
  </si>
  <si>
    <t xml:space="preserve">Everything needed to log altitude and deploy a parachute reliably. Baro-primary apogee detection with a timer backup is competitive on a 3 s ascent. Fly this 3–4 times first.</t>
  </si>
  <si>
    <t xml:space="preserve">Phase 2</t>
  </si>
  <si>
    <t xml:space="preserve">SAM-M8Q GPS, Pololu MinIMU-9 v6, ADXL375 high-g accelerometer, RFM95W LoRa ×2</t>
  </si>
  <si>
    <t xml:space="preserve">Research payload: boost-phase g data, attitude reconstruction, live telemetry, GPS recovery. Add these to a vehicle whose recovery you already trust.</t>
  </si>
  <si>
    <t xml:space="preserve">Not Yet in Either Cart</t>
  </si>
  <si>
    <t xml:space="preserve">Estimated Philippine street prices entered as blue placeholders — replace with real quotes. Some of these are tools you may already own.</t>
  </si>
  <si>
    <t xml:space="preserve">Est. Cost</t>
  </si>
  <si>
    <t xml:space="preserve">Why it's needed</t>
  </si>
  <si>
    <t xml:space="preserve">Multimeter</t>
  </si>
  <si>
    <t xml:space="preserve">Tool</t>
  </si>
  <si>
    <t xml:space="preserve">The single most important tool. Continuity checking alone saves hours; verify LiPo polarity before connecting anything.</t>
  </si>
  <si>
    <t xml:space="preserve">Soldering iron, temperature-controlled</t>
  </si>
  <si>
    <t xml:space="preserve">Every breakout ships with headers loose in the bag. Soldering is not optional. Set to ~330 C for the 63/37 solder already in the cart.</t>
  </si>
  <si>
    <t xml:space="preserve">Flux pen or paste</t>
  </si>
  <si>
    <t xml:space="preserve">Rosin-core solder has flux inside, but extra flux on the pad is what makes header joints suddenly feel easy. Essential for any rework.</t>
  </si>
  <si>
    <t xml:space="preserve">Solder wick, brass tip cleaner, helping hands</t>
  </si>
  <si>
    <t xml:space="preserve">Rework and cleanup. You will make bad joints while learning.</t>
  </si>
  <si>
    <t xml:space="preserve">USB logic analyzer, 8-channel clone (Sigrok/PulseView)</t>
  </si>
  <si>
    <t xml:space="preserve">Highest-value cheap debug tool for I2C. When the bus goes silent you will see exactly why.</t>
  </si>
  <si>
    <t xml:space="preserve">Data-capable USB cable for the Pico</t>
  </si>
  <si>
    <t xml:space="preserve">Half the cables in any drawer are charge-only. This wastes a surprising amount of time.</t>
  </si>
  <si>
    <t xml:space="preserve">100 nF ceramic capacitors (assortment)</t>
  </si>
  <si>
    <t xml:space="preserve">Passive</t>
  </si>
  <si>
    <t xml:space="preserve">Decoupling at every IC, alongside the 220 uF bulk caps already in the cart.</t>
  </si>
  <si>
    <t xml:space="preserve">M3 nylon standoffs 15-20 mm + screws</t>
  </si>
  <si>
    <t xml:space="preserve">Mechanical</t>
  </si>
  <si>
    <t xml:space="preserve">Join the two avionics decks. Nylon not metal — lighter, and no accidental shorts.</t>
  </si>
  <si>
    <t xml:space="preserve">EVA foam sheet / soft silicone potting</t>
  </si>
  <si>
    <t xml:space="preserve">Shock isolation. A rigidly bolted PCB transmits the full 50 g spike; foam does not.</t>
  </si>
  <si>
    <t xml:space="preserve">Piano wire 1 mm + servo horn hardware</t>
  </si>
  <si>
    <t xml:space="preserve">The latch pin itself. Test the pull with the chute actually packed — friction is far higher than a bare bench test.</t>
  </si>
  <si>
    <t xml:space="preserve">Solid-core hookup wire 22 AWG</t>
  </si>
  <si>
    <t xml:space="preserve">Clean short runs on the flight board. Jumper wires everywhere makes debugging miserable.</t>
  </si>
  <si>
    <t xml:space="preserve">Antenna wire for 82 mm quarter-wave</t>
  </si>
  <si>
    <t xml:space="preserve">82 mm at 868 MHz (78 mm at 915). Cut accurately — wrong antenna length costs more range than any power setting.</t>
  </si>
  <si>
    <t xml:space="preserve">SMA whip antenna + pigtail for ground station</t>
  </si>
  <si>
    <t xml:space="preserve">A proper antenna on the receiver roughly doubles usable range for a few hundred pesos.</t>
  </si>
  <si>
    <t xml:space="preserve">Conformal coating or clear nail polish</t>
  </si>
  <si>
    <t xml:space="preserve">The rocket lands wet. Coat the board; leave the barometer port and exposed sensor dies uncovered.</t>
  </si>
  <si>
    <t xml:space="preserve">LiPo safety bag or ceramic tile</t>
  </si>
  <si>
    <t xml:space="preserve">Charge on a non-flammable surface, never unattended. Cheap insurance.</t>
  </si>
  <si>
    <t xml:space="preserve">Gore-Tex or hydrophobic mesh scrap</t>
  </si>
  <si>
    <t xml:space="preserve">Covers the static ports. A water droplet across a port gives wildly wrong pressure readings.</t>
  </si>
  <si>
    <t xml:space="preserve">ESTIMATED ADDITIONAL SPEND</t>
  </si>
  <si>
    <t xml:space="preserve">ASSUMPTION: every cost on this sheet is a rough estimate supplied as a placeholder, not a quote. They are shown in blue as hardcoded inputs — overwrite them with real prices.</t>
  </si>
  <si>
    <t xml:space="preserve">Key Design Decisions &amp; Regulatory Notes</t>
  </si>
  <si>
    <t xml:space="preserve">The reasoning behind the parts chosen, and the constraints that drove them.</t>
  </si>
  <si>
    <t xml:space="preserve">Topic</t>
  </si>
  <si>
    <t xml:space="preserve">Decision</t>
  </si>
  <si>
    <t xml:space="preserve">Reasoning</t>
  </si>
  <si>
    <t xml:space="preserve">Apogee detection</t>
  </si>
  <si>
    <t xml:space="preserve">Barometer peak-and-drop is primary. Timer is backup. IMU tilt is an inhibit only.</t>
  </si>
  <si>
    <t xml:space="preserve">Baro differentiates a measured position — error is bounded and never accumulates. An IMU integrates acceleration — error is unbounded, grows from a clipped boost, and is undetectable without an external reference. Baro error sources (dynamic pressure ~ v², inertial gradient ~ a) both vanish at apogee.</t>
  </si>
  <si>
    <t xml:space="preserve">Detection latency</t>
  </si>
  <si>
    <t xml:space="preserve">MS5611 at ~10 cm noise needs ~30 cm of drop ≈ 0.25 s past apogee. A BMP280 at ~1 m would need ~0.7 s.</t>
  </si>
  <si>
    <t xml:space="preserve">Altitude near apogee follows h = h_max − ½gt², so the curve is flat there and sensor noise translates directly into detection delay. This is the entire argument for the MS5611 over the cheaper BMP280.</t>
  </si>
  <si>
    <t xml:space="preserve">Deployment lockout</t>
  </si>
  <si>
    <t xml:space="preserve">Inhibit deployment until boost has ended plus ~0.5 s. Latch the fire flag so it cannot retrigger.</t>
  </si>
  <si>
    <t xml:space="preserve">Prevents a boost-phase pressure transient firing the chute at 70 m/s. Bias every threshold toward late — late deployment costs some data, early deployment shreds the parachute.</t>
  </si>
  <si>
    <t xml:space="preserve">Static ports</t>
  </si>
  <si>
    <t xml:space="preserve">3–4 holes of ~1 mm, evenly spaced, at least one body-diameter aft of the nose shoulder.</t>
  </si>
  <si>
    <t xml:space="preserve">Uneven or badly placed ports cause pressure asymmetry that reads as phantom altitude. Port quality dominates sensor noise if you get it wrong. Size for lag too — keep the bay time constant under ~50 ms.</t>
  </si>
  <si>
    <t xml:space="preserve">I2C bus</t>
  </si>
  <si>
    <t xml:space="preserve">MS5611 (0x77), LSM6DSO (0x6A), LIS3MDL (0x1C/0x1E), ADXL375 (0x53), GPS (0x42) — all on two wires.</t>
  </si>
  <si>
    <t xml:space="preserve">No address conflicts. Run at 400 kHz with short traces. Watch for clone boards carrying 2.2 kΩ pull-ups; three in parallel is too strong and the bus will misbehave.</t>
  </si>
  <si>
    <t xml:space="preserve">Firmware architecture</t>
  </si>
  <si>
    <t xml:space="preserve">Core 0: 500 Hz sensor loop and state machine, buffered in RAM. Core 1: LoRa TX, GPS parsing, flash dump after landing.</t>
  </si>
  <si>
    <t xml:space="preserve">No flash writes during the 50 g boost — the commonest way to lose a flight's data. If the radio stalls, core 1 stalls and core 0 never notices. Deployment logic must never depend on the link.</t>
  </si>
  <si>
    <t xml:space="preserve">Filtering</t>
  </si>
  <si>
    <t xml:space="preserve">Log raw counts in flight. Do Kalman fusion offline in Python.</t>
  </si>
  <si>
    <t xml:space="preserve">Iterate in seconds instead of reflashing and relaunching. Port the filter onboard only once it agrees with raw data across a dozen flights.</t>
  </si>
  <si>
    <t xml:space="preserve">LoRa frequency — CHECK THIS</t>
  </si>
  <si>
    <t xml:space="preserve">Configure to 868–870 MHz at +14 dBm, NOT the US 915 default. Verify current NTC rules yourself before flying.</t>
  </si>
  <si>
    <t xml:space="preserve">NTC MC 03-06-2017 lists PH non-specific SRD / telemetry bands as 868.000–868.600, 868.700–869.200 and 869.300–869.700 (25 mW erp), plus 869.700–870.000 (5 mW erp). Whether 915–918 (AS923-3) is permitted is actively disputed in the LoRa community. NTC MC 004-06-2026 amended SRD parameters again in June 2026 — check for anything newer.</t>
  </si>
  <si>
    <t xml:space="preserve">LoRa duty cycle</t>
  </si>
  <si>
    <t xml:space="preserve">EU-style bands typically carry a 1% duty cycle limit.</t>
  </si>
  <si>
    <t xml:space="preserve">At SF7/BW250 a 16-byte packet is ~10 ms airtime, so 20 Hz telemetry is ~20% duty. Either slow the live stream toward ~1 Hz, or accept the tradeoff knowingly. A landed beacon at one packet per 5 s is comfortably within limits.</t>
  </si>
  <si>
    <t xml:space="preserve">Mass budget</t>
  </si>
  <si>
    <t xml:space="preserve">~80 g total avionics, all of it in the nose cone.</t>
  </si>
  <si>
    <t xml:space="preserve">A water rocket has fixed impulse from its pressure vessel, so every gram of dry mass directly costs apogee. Nose mass also shifts CG forward, requiring larger fins to keep CP aft of it.</t>
  </si>
  <si>
    <t xml:space="preserve">Arming sequence</t>
  </si>
  <si>
    <t xml:space="preserve">Battery in → pack chute → seat cone → mount on launcher → ARM with magnet → step back → pressurise.</t>
  </si>
  <si>
    <t xml:space="preserve">Arming is the last action, performed from outside a sealed airframe. Disarming is the first action on recovery, before touching the rocket. A buzzer chirp and a state field in the LoRa packet confirm it from 10 m away.</t>
  </si>
</sst>
</file>

<file path=xl/styles.xml><?xml version="1.0" encoding="utf-8"?>
<styleSheet xmlns="http://schemas.openxmlformats.org/spreadsheetml/2006/main">
  <numFmts count="3">
    <numFmt numFmtId="164" formatCode="General"/>
    <numFmt numFmtId="165" formatCode="\₱#,##0.00"/>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55555"/>
      <name val="Arial"/>
      <family val="0"/>
      <charset val="1"/>
    </font>
    <font>
      <b val="true"/>
      <sz val="10"/>
      <color rgb="FFFFFFFF"/>
      <name val="Arial"/>
      <family val="0"/>
      <charset val="1"/>
    </font>
    <font>
      <sz val="10"/>
      <name val="Arial"/>
      <family val="0"/>
      <charset val="1"/>
    </font>
    <font>
      <sz val="10"/>
      <color rgb="FF0000FF"/>
      <name val="Arial"/>
      <family val="0"/>
      <charset val="1"/>
    </font>
    <font>
      <u val="single"/>
      <sz val="10"/>
      <color rgb="FF0563C1"/>
      <name val="Arial"/>
      <family val="0"/>
      <charset val="1"/>
    </font>
    <font>
      <b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DDEBF7"/>
        <bgColor rgb="FFE2EFDA"/>
      </patternFill>
    </fill>
    <fill>
      <patternFill patternType="solid">
        <fgColor rgb="FFE2EFDA"/>
        <bgColor rgb="FFDDEBF7"/>
      </patternFill>
    </fill>
    <fill>
      <patternFill patternType="solid">
        <fgColor rgb="FFFFF2CC"/>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makerlab.ph/products/raspberry-pi-pico-rp2040-microcontroller-raspberry-pi-pico-w?variant=43922030133439" TargetMode="External"/><Relationship Id="rId2" Type="http://schemas.openxmlformats.org/officeDocument/2006/relationships/hyperlink" Target="https://makerlab.ph/products/raspberry-pi-pico-rp2040-microcontroller-raspberry-pi-pico-w-copy?variant=44336789717183" TargetMode="External"/><Relationship Id="rId3" Type="http://schemas.openxmlformats.org/officeDocument/2006/relationships/hyperlink" Target="https://circuit.rocks/products/gy-63-ms5611-01ba03-atmospheric-pressure-module?variant=45812624982305" TargetMode="External"/><Relationship Id="rId4" Type="http://schemas.openxmlformats.org/officeDocument/2006/relationships/hyperlink" Target="https://circuit.rocks/products/minimu-9-v6-gyro-accelerometer-and-compass-lsm6dso-and-lis3mdl-carrier?variant=52254414569761" TargetMode="External"/><Relationship Id="rId5" Type="http://schemas.openxmlformats.org/officeDocument/2006/relationships/hyperlink" Target="https://circuit.rocks/products/adxl375-high-g-accelerometer-200g-with-i2c-and-spi-stemma-qt-qwiic?variant=52439918084385" TargetMode="External"/><Relationship Id="rId6" Type="http://schemas.openxmlformats.org/officeDocument/2006/relationships/hyperlink" Target="https://circuit.rocks/products/gps-breakout-chip-antenna-sam-m8q-sparkfun-force-density-level?variant=45836805439777" TargetMode="External"/><Relationship Id="rId7" Type="http://schemas.openxmlformats.org/officeDocument/2006/relationships/hyperlink" Target="https://makerlab.ph/products/adafruit-rfm95w-lora-radio-transceiver-breakout-868-or-915-mhz-radiofruit?variant=42291020267711" TargetMode="External"/><Relationship Id="rId8" Type="http://schemas.openxmlformats.org/officeDocument/2006/relationships/hyperlink" Target="https://circuit.rocks/products/micro-servo-mg90d-180-deg-high-torque-metal-gear?variant=45812563247393" TargetMode="External"/><Relationship Id="rId9" Type="http://schemas.openxmlformats.org/officeDocument/2006/relationships/hyperlink" Target="https://makerlab.ph/products/ls3040-piezo-electric-buzzer?variant=43321211748543" TargetMode="External"/><Relationship Id="rId10" Type="http://schemas.openxmlformats.org/officeDocument/2006/relationships/hyperlink" Target="https://circuit.rocks/products/reed-switch?variant=45812587102497" TargetMode="External"/><Relationship Id="rId11" Type="http://schemas.openxmlformats.org/officeDocument/2006/relationships/hyperlink" Target="https://circuit.rocks/products/magnet-neodymium-n35-ndfeb-circular-8x5mm?variant=45837630570785" TargetMode="External"/><Relationship Id="rId12" Type="http://schemas.openxmlformats.org/officeDocument/2006/relationships/hyperlink" Target="https://makerlab.ph/products/lithium-ion-polymer-battery-3-7v-500mah?variant=42292840956095" TargetMode="External"/><Relationship Id="rId13" Type="http://schemas.openxmlformats.org/officeDocument/2006/relationships/hyperlink" Target="https://circuit.rocks/products/micro-lipo-with-microusb-jack-usb-liion-or-lipoly-charger-v1-adafruit?variant=45812706967841" TargetMode="External"/><Relationship Id="rId14" Type="http://schemas.openxmlformats.org/officeDocument/2006/relationships/hyperlink" Target="https://circuit.rocks/products/capacitors-electrolytic-220uf-16v-pack-of-10?variant=45813709013281" TargetMode="External"/><Relationship Id="rId15" Type="http://schemas.openxmlformats.org/officeDocument/2006/relationships/hyperlink" Target="https://circuit.rocks/products/resistors-through-hole-100k-ohm-5-1-4w-pack-of-25?variant=45813708685601" TargetMode="External"/><Relationship Id="rId16" Type="http://schemas.openxmlformats.org/officeDocument/2006/relationships/hyperlink" Target="https://makerlab.ph/products/fr4-universal-protoboard-pcb-double-sided?variant=43922032099519" TargetMode="External"/><Relationship Id="rId17" Type="http://schemas.openxmlformats.org/officeDocument/2006/relationships/hyperlink" Target="https://makerlab.ph/products/fr4-universal-protoboard-pcb-double-sided?variant=43922032132287" TargetMode="External"/><Relationship Id="rId18" Type="http://schemas.openxmlformats.org/officeDocument/2006/relationships/hyperlink" Target="https://circuit.rocks/products/breadboard-400-tie-point-interlocking-solderless-crystal?variant=45812706607393" TargetMode="External"/><Relationship Id="rId19" Type="http://schemas.openxmlformats.org/officeDocument/2006/relationships/hyperlink" Target="https://makerlab.ph/products/40-pin-10cm-jumper-wires?variant=43922163400895" TargetMode="External"/><Relationship Id="rId20" Type="http://schemas.openxmlformats.org/officeDocument/2006/relationships/hyperlink" Target="https://makerlab.ph/products/40-pin-10cm-jumper-wires?variant=43922163368127" TargetMode="External"/><Relationship Id="rId21" Type="http://schemas.openxmlformats.org/officeDocument/2006/relationships/hyperlink" Target="https://circuit.rocks/products/jst-ph-switched-2-pin-smt-right-angle-breakout-board?variant=45813701017889" TargetMode="External"/><Relationship Id="rId22" Type="http://schemas.openxmlformats.org/officeDocument/2006/relationships/hyperlink" Target="https://makerlab.ph/products/10-pcs-2-pin-jst-ph-female-connector-cable-100mm-26awg?variant=44313735725247" TargetMode="External"/><Relationship Id="rId23" Type="http://schemas.openxmlformats.org/officeDocument/2006/relationships/hyperlink" Target="https://makerlab.ph/products/25pcs-2-pin-angled-jst-ph-shrouded-male-connector-1?variant=44349686939839" TargetMode="External"/><Relationship Id="rId24" Type="http://schemas.openxmlformats.org/officeDocument/2006/relationships/hyperlink" Target="https://circuit.rocks/products/solder-wire-0-5mm?variant=45816082727201" TargetMode="External"/><Relationship Id="rId25" Type="http://schemas.openxmlformats.org/officeDocument/2006/relationships/hyperlink" Target="https://circuit.rocks/products/toggle-switch-mini-panel-mount-spdt?variant=45812674593057" TargetMode="External"/><Relationship Id="rId26" Type="http://schemas.openxmlformats.org/officeDocument/2006/relationships/hyperlink" Target="https://makerlab.ph/products/40-pin-10cm-jumper-wires?variant=43922163335359"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circuit.rocks/collections/all" TargetMode="External"/><Relationship Id="rId2" Type="http://schemas.openxmlformats.org/officeDocument/2006/relationships/hyperlink" Target="https://makerlab.ph/"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14"/>
    <col collapsed="false" customWidth="true" hidden="false" outlineLevel="0" max="4" min="4" style="0" width="12"/>
    <col collapsed="false" customWidth="true" hidden="false" outlineLevel="0" max="5" min="5" style="0" width="6"/>
    <col collapsed="false" customWidth="true" hidden="false" outlineLevel="0" max="6" min="6" style="0" width="13"/>
    <col collapsed="false" customWidth="true" hidden="false" outlineLevel="0" max="7" min="7" style="0" width="14"/>
    <col collapsed="false" customWidth="true" hidden="false" outlineLevel="0" max="8" min="8" style="0" width="7"/>
    <col collapsed="false" customWidth="true" hidden="false" outlineLevel="0" max="9" min="9" style="0" width="42"/>
    <col collapsed="false" customWidth="true" hidden="false" outlineLevel="0" max="11" min="10" style="0" width="52"/>
    <col collapsed="false" customWidth="true" hidden="false" outlineLevel="0" max="12" min="12" style="0" width="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c r="G4" s="3" t="s">
        <v>8</v>
      </c>
      <c r="H4" s="3" t="s">
        <v>9</v>
      </c>
      <c r="I4" s="3" t="s">
        <v>10</v>
      </c>
      <c r="J4" s="3" t="s">
        <v>11</v>
      </c>
      <c r="K4" s="3" t="s">
        <v>12</v>
      </c>
      <c r="L4" s="3" t="s">
        <v>13</v>
      </c>
    </row>
    <row r="5" customFormat="false" ht="78" hidden="false" customHeight="true" outlineLevel="0" collapsed="false">
      <c r="A5" s="4" t="s">
        <v>14</v>
      </c>
      <c r="B5" s="4" t="s">
        <v>15</v>
      </c>
      <c r="C5" s="5" t="s">
        <v>16</v>
      </c>
      <c r="D5" s="4" t="s">
        <v>17</v>
      </c>
      <c r="E5" s="6" t="n">
        <v>1</v>
      </c>
      <c r="F5" s="7" t="n">
        <v>459</v>
      </c>
      <c r="G5" s="8" t="n">
        <f aca="false">E5*F5</f>
        <v>459</v>
      </c>
      <c r="H5" s="6" t="n">
        <v>1</v>
      </c>
      <c r="I5" s="9" t="s">
        <v>18</v>
      </c>
      <c r="J5" s="9" t="s">
        <v>19</v>
      </c>
      <c r="K5" s="9" t="s">
        <v>20</v>
      </c>
      <c r="L5" s="10" t="s">
        <v>21</v>
      </c>
    </row>
    <row r="6" customFormat="false" ht="78" hidden="false" customHeight="true" outlineLevel="0" collapsed="false">
      <c r="A6" s="4" t="s">
        <v>14</v>
      </c>
      <c r="B6" s="4" t="s">
        <v>22</v>
      </c>
      <c r="C6" s="5" t="s">
        <v>16</v>
      </c>
      <c r="D6" s="4" t="s">
        <v>23</v>
      </c>
      <c r="E6" s="6" t="n">
        <v>1</v>
      </c>
      <c r="F6" s="7" t="n">
        <v>590</v>
      </c>
      <c r="G6" s="8" t="n">
        <f aca="false">E6*F6</f>
        <v>590</v>
      </c>
      <c r="H6" s="6" t="n">
        <v>2</v>
      </c>
      <c r="I6" s="9" t="s">
        <v>24</v>
      </c>
      <c r="J6" s="9" t="s">
        <v>25</v>
      </c>
      <c r="K6" s="9" t="s">
        <v>26</v>
      </c>
      <c r="L6" s="10" t="s">
        <v>21</v>
      </c>
    </row>
    <row r="7" customFormat="false" ht="78" hidden="false" customHeight="true" outlineLevel="0" collapsed="false">
      <c r="A7" s="4" t="s">
        <v>27</v>
      </c>
      <c r="B7" s="4" t="s">
        <v>28</v>
      </c>
      <c r="C7" s="11" t="s">
        <v>29</v>
      </c>
      <c r="D7" s="4" t="s">
        <v>30</v>
      </c>
      <c r="E7" s="6" t="n">
        <v>1</v>
      </c>
      <c r="F7" s="7" t="n">
        <v>421</v>
      </c>
      <c r="G7" s="8" t="n">
        <f aca="false">E7*F7</f>
        <v>421</v>
      </c>
      <c r="H7" s="6" t="n">
        <v>1</v>
      </c>
      <c r="I7" s="9" t="s">
        <v>31</v>
      </c>
      <c r="J7" s="9" t="s">
        <v>32</v>
      </c>
      <c r="K7" s="9" t="s">
        <v>33</v>
      </c>
      <c r="L7" s="10" t="s">
        <v>21</v>
      </c>
    </row>
    <row r="8" customFormat="false" ht="78" hidden="false" customHeight="true" outlineLevel="0" collapsed="false">
      <c r="A8" s="4" t="s">
        <v>27</v>
      </c>
      <c r="B8" s="4" t="s">
        <v>34</v>
      </c>
      <c r="C8" s="11" t="s">
        <v>29</v>
      </c>
      <c r="D8" s="4" t="s">
        <v>35</v>
      </c>
      <c r="E8" s="6" t="n">
        <v>1</v>
      </c>
      <c r="F8" s="7" t="n">
        <v>2238</v>
      </c>
      <c r="G8" s="8" t="n">
        <f aca="false">E8*F8</f>
        <v>2238</v>
      </c>
      <c r="H8" s="6" t="n">
        <v>2</v>
      </c>
      <c r="I8" s="9" t="s">
        <v>36</v>
      </c>
      <c r="J8" s="9" t="s">
        <v>37</v>
      </c>
      <c r="K8" s="9" t="s">
        <v>38</v>
      </c>
      <c r="L8" s="10" t="s">
        <v>21</v>
      </c>
    </row>
    <row r="9" customFormat="false" ht="78" hidden="false" customHeight="true" outlineLevel="0" collapsed="false">
      <c r="A9" s="4" t="s">
        <v>27</v>
      </c>
      <c r="B9" s="4" t="s">
        <v>39</v>
      </c>
      <c r="C9" s="11" t="s">
        <v>29</v>
      </c>
      <c r="D9" s="4" t="s">
        <v>40</v>
      </c>
      <c r="E9" s="6" t="n">
        <v>1</v>
      </c>
      <c r="F9" s="7" t="n">
        <v>2096</v>
      </c>
      <c r="G9" s="8" t="n">
        <f aca="false">E9*F9</f>
        <v>2096</v>
      </c>
      <c r="H9" s="6" t="n">
        <v>2</v>
      </c>
      <c r="I9" s="9" t="s">
        <v>41</v>
      </c>
      <c r="J9" s="9" t="s">
        <v>42</v>
      </c>
      <c r="K9" s="9" t="s">
        <v>43</v>
      </c>
      <c r="L9" s="10" t="s">
        <v>21</v>
      </c>
    </row>
    <row r="10" customFormat="false" ht="78" hidden="false" customHeight="true" outlineLevel="0" collapsed="false">
      <c r="A10" s="4" t="s">
        <v>27</v>
      </c>
      <c r="B10" s="4" t="s">
        <v>44</v>
      </c>
      <c r="C10" s="11" t="s">
        <v>29</v>
      </c>
      <c r="D10" s="4" t="s">
        <v>45</v>
      </c>
      <c r="E10" s="6" t="n">
        <v>1</v>
      </c>
      <c r="F10" s="7" t="n">
        <v>2348</v>
      </c>
      <c r="G10" s="8" t="n">
        <f aca="false">E10*F10</f>
        <v>2348</v>
      </c>
      <c r="H10" s="6" t="n">
        <v>2</v>
      </c>
      <c r="I10" s="9" t="s">
        <v>46</v>
      </c>
      <c r="J10" s="9" t="s">
        <v>47</v>
      </c>
      <c r="K10" s="9" t="s">
        <v>48</v>
      </c>
      <c r="L10" s="10" t="s">
        <v>21</v>
      </c>
    </row>
    <row r="11" customFormat="false" ht="78" hidden="false" customHeight="true" outlineLevel="0" collapsed="false">
      <c r="A11" s="4" t="s">
        <v>49</v>
      </c>
      <c r="B11" s="4" t="s">
        <v>50</v>
      </c>
      <c r="C11" s="5" t="s">
        <v>16</v>
      </c>
      <c r="D11" s="4" t="s">
        <v>17</v>
      </c>
      <c r="E11" s="6" t="n">
        <v>2</v>
      </c>
      <c r="F11" s="7" t="n">
        <v>1599</v>
      </c>
      <c r="G11" s="8" t="n">
        <f aca="false">E11*F11</f>
        <v>3198</v>
      </c>
      <c r="H11" s="6" t="n">
        <v>2</v>
      </c>
      <c r="I11" s="9" t="s">
        <v>51</v>
      </c>
      <c r="J11" s="9" t="s">
        <v>52</v>
      </c>
      <c r="K11" s="9" t="s">
        <v>53</v>
      </c>
      <c r="L11" s="10" t="s">
        <v>21</v>
      </c>
    </row>
    <row r="12" customFormat="false" ht="78" hidden="false" customHeight="true" outlineLevel="0" collapsed="false">
      <c r="A12" s="4" t="s">
        <v>54</v>
      </c>
      <c r="B12" s="4" t="s">
        <v>55</v>
      </c>
      <c r="C12" s="11" t="s">
        <v>29</v>
      </c>
      <c r="D12" s="4" t="s">
        <v>56</v>
      </c>
      <c r="E12" s="6" t="n">
        <v>1</v>
      </c>
      <c r="F12" s="7" t="n">
        <v>192</v>
      </c>
      <c r="G12" s="8" t="n">
        <f aca="false">E12*F12</f>
        <v>192</v>
      </c>
      <c r="H12" s="6" t="n">
        <v>1</v>
      </c>
      <c r="I12" s="9" t="s">
        <v>57</v>
      </c>
      <c r="J12" s="9" t="s">
        <v>58</v>
      </c>
      <c r="K12" s="9" t="s">
        <v>59</v>
      </c>
      <c r="L12" s="10" t="s">
        <v>21</v>
      </c>
    </row>
    <row r="13" customFormat="false" ht="78" hidden="false" customHeight="true" outlineLevel="0" collapsed="false">
      <c r="A13" s="4" t="s">
        <v>54</v>
      </c>
      <c r="B13" s="4" t="s">
        <v>60</v>
      </c>
      <c r="C13" s="5" t="s">
        <v>16</v>
      </c>
      <c r="D13" s="4" t="s">
        <v>17</v>
      </c>
      <c r="E13" s="6" t="n">
        <v>1</v>
      </c>
      <c r="F13" s="7" t="n">
        <v>49</v>
      </c>
      <c r="G13" s="8" t="n">
        <f aca="false">E13*F13</f>
        <v>49</v>
      </c>
      <c r="H13" s="6" t="n">
        <v>1</v>
      </c>
      <c r="I13" s="9" t="s">
        <v>61</v>
      </c>
      <c r="J13" s="9" t="s">
        <v>62</v>
      </c>
      <c r="K13" s="9" t="s">
        <v>63</v>
      </c>
      <c r="L13" s="10" t="s">
        <v>21</v>
      </c>
    </row>
    <row r="14" customFormat="false" ht="78" hidden="false" customHeight="true" outlineLevel="0" collapsed="false">
      <c r="A14" s="4" t="s">
        <v>64</v>
      </c>
      <c r="B14" s="4" t="s">
        <v>65</v>
      </c>
      <c r="C14" s="11" t="s">
        <v>29</v>
      </c>
      <c r="D14" s="4" t="s">
        <v>66</v>
      </c>
      <c r="E14" s="6" t="n">
        <v>1</v>
      </c>
      <c r="F14" s="7" t="n">
        <v>149</v>
      </c>
      <c r="G14" s="8" t="n">
        <f aca="false">E14*F14</f>
        <v>149</v>
      </c>
      <c r="H14" s="6" t="n">
        <v>1</v>
      </c>
      <c r="I14" s="9" t="s">
        <v>67</v>
      </c>
      <c r="J14" s="9" t="s">
        <v>68</v>
      </c>
      <c r="K14" s="9" t="s">
        <v>69</v>
      </c>
      <c r="L14" s="10" t="s">
        <v>21</v>
      </c>
    </row>
    <row r="15" customFormat="false" ht="78" hidden="false" customHeight="true" outlineLevel="0" collapsed="false">
      <c r="A15" s="4" t="s">
        <v>64</v>
      </c>
      <c r="B15" s="4" t="s">
        <v>70</v>
      </c>
      <c r="C15" s="11" t="s">
        <v>29</v>
      </c>
      <c r="D15" s="4" t="s">
        <v>71</v>
      </c>
      <c r="E15" s="6" t="n">
        <v>1</v>
      </c>
      <c r="F15" s="7" t="n">
        <v>15</v>
      </c>
      <c r="G15" s="8" t="n">
        <f aca="false">E15*F15</f>
        <v>15</v>
      </c>
      <c r="H15" s="6" t="n">
        <v>1</v>
      </c>
      <c r="I15" s="9" t="s">
        <v>72</v>
      </c>
      <c r="J15" s="9" t="s">
        <v>73</v>
      </c>
      <c r="K15" s="9" t="s">
        <v>74</v>
      </c>
      <c r="L15" s="10" t="s">
        <v>21</v>
      </c>
    </row>
    <row r="16" customFormat="false" ht="78" hidden="false" customHeight="true" outlineLevel="0" collapsed="false">
      <c r="A16" s="4" t="s">
        <v>75</v>
      </c>
      <c r="B16" s="4" t="s">
        <v>76</v>
      </c>
      <c r="C16" s="5" t="s">
        <v>16</v>
      </c>
      <c r="D16" s="4" t="s">
        <v>17</v>
      </c>
      <c r="E16" s="6" t="n">
        <v>1</v>
      </c>
      <c r="F16" s="7" t="n">
        <v>200</v>
      </c>
      <c r="G16" s="8" t="n">
        <f aca="false">E16*F16</f>
        <v>200</v>
      </c>
      <c r="H16" s="6" t="n">
        <v>1</v>
      </c>
      <c r="I16" s="9" t="s">
        <v>77</v>
      </c>
      <c r="J16" s="9" t="s">
        <v>78</v>
      </c>
      <c r="K16" s="9" t="s">
        <v>79</v>
      </c>
      <c r="L16" s="10" t="s">
        <v>21</v>
      </c>
    </row>
    <row r="17" customFormat="false" ht="78" hidden="false" customHeight="true" outlineLevel="0" collapsed="false">
      <c r="A17" s="4" t="s">
        <v>75</v>
      </c>
      <c r="B17" s="4" t="s">
        <v>80</v>
      </c>
      <c r="C17" s="11" t="s">
        <v>29</v>
      </c>
      <c r="D17" s="4" t="s">
        <v>81</v>
      </c>
      <c r="E17" s="6" t="n">
        <v>1</v>
      </c>
      <c r="F17" s="7" t="n">
        <v>662</v>
      </c>
      <c r="G17" s="8" t="n">
        <f aca="false">E17*F17</f>
        <v>662</v>
      </c>
      <c r="H17" s="6" t="n">
        <v>1</v>
      </c>
      <c r="I17" s="9" t="s">
        <v>82</v>
      </c>
      <c r="J17" s="9" t="s">
        <v>83</v>
      </c>
      <c r="K17" s="9" t="s">
        <v>84</v>
      </c>
      <c r="L17" s="10" t="s">
        <v>21</v>
      </c>
    </row>
    <row r="18" customFormat="false" ht="78" hidden="false" customHeight="true" outlineLevel="0" collapsed="false">
      <c r="A18" s="4" t="s">
        <v>75</v>
      </c>
      <c r="B18" s="4" t="s">
        <v>85</v>
      </c>
      <c r="C18" s="11" t="s">
        <v>29</v>
      </c>
      <c r="D18" s="4" t="s">
        <v>86</v>
      </c>
      <c r="E18" s="6" t="n">
        <v>1</v>
      </c>
      <c r="F18" s="7" t="n">
        <v>25</v>
      </c>
      <c r="G18" s="8" t="n">
        <f aca="false">E18*F18</f>
        <v>25</v>
      </c>
      <c r="H18" s="6" t="n">
        <v>1</v>
      </c>
      <c r="I18" s="9" t="s">
        <v>87</v>
      </c>
      <c r="J18" s="9" t="s">
        <v>88</v>
      </c>
      <c r="K18" s="9" t="s">
        <v>89</v>
      </c>
      <c r="L18" s="10" t="s">
        <v>21</v>
      </c>
    </row>
    <row r="19" customFormat="false" ht="78" hidden="false" customHeight="true" outlineLevel="0" collapsed="false">
      <c r="A19" s="4" t="s">
        <v>75</v>
      </c>
      <c r="B19" s="4" t="s">
        <v>90</v>
      </c>
      <c r="C19" s="11" t="s">
        <v>29</v>
      </c>
      <c r="D19" s="4" t="s">
        <v>91</v>
      </c>
      <c r="E19" s="6" t="n">
        <v>1</v>
      </c>
      <c r="F19" s="7" t="n">
        <v>19</v>
      </c>
      <c r="G19" s="8" t="n">
        <f aca="false">E19*F19</f>
        <v>19</v>
      </c>
      <c r="H19" s="6" t="n">
        <v>1</v>
      </c>
      <c r="I19" s="9" t="s">
        <v>92</v>
      </c>
      <c r="J19" s="9" t="s">
        <v>93</v>
      </c>
      <c r="K19" s="9" t="s">
        <v>94</v>
      </c>
      <c r="L19" s="10" t="s">
        <v>21</v>
      </c>
    </row>
    <row r="20" customFormat="false" ht="78" hidden="false" customHeight="true" outlineLevel="0" collapsed="false">
      <c r="A20" s="4" t="s">
        <v>95</v>
      </c>
      <c r="B20" s="4" t="s">
        <v>96</v>
      </c>
      <c r="C20" s="5" t="s">
        <v>16</v>
      </c>
      <c r="D20" s="4" t="s">
        <v>17</v>
      </c>
      <c r="E20" s="6" t="n">
        <v>2</v>
      </c>
      <c r="F20" s="7" t="n">
        <v>12.5</v>
      </c>
      <c r="G20" s="8" t="n">
        <f aca="false">E20*F20</f>
        <v>25</v>
      </c>
      <c r="H20" s="6" t="n">
        <v>1</v>
      </c>
      <c r="I20" s="9" t="s">
        <v>97</v>
      </c>
      <c r="J20" s="9" t="s">
        <v>98</v>
      </c>
      <c r="K20" s="9" t="s">
        <v>99</v>
      </c>
      <c r="L20" s="10" t="s">
        <v>21</v>
      </c>
    </row>
    <row r="21" customFormat="false" ht="78" hidden="false" customHeight="true" outlineLevel="0" collapsed="false">
      <c r="A21" s="4" t="s">
        <v>95</v>
      </c>
      <c r="B21" s="4" t="s">
        <v>100</v>
      </c>
      <c r="C21" s="5" t="s">
        <v>16</v>
      </c>
      <c r="D21" s="4" t="s">
        <v>17</v>
      </c>
      <c r="E21" s="6" t="n">
        <v>2</v>
      </c>
      <c r="F21" s="7" t="n">
        <v>17.5</v>
      </c>
      <c r="G21" s="8" t="n">
        <f aca="false">E21*F21</f>
        <v>35</v>
      </c>
      <c r="H21" s="6" t="n">
        <v>1</v>
      </c>
      <c r="I21" s="9" t="s">
        <v>101</v>
      </c>
      <c r="J21" s="9" t="s">
        <v>102</v>
      </c>
      <c r="K21" s="9" t="s">
        <v>103</v>
      </c>
      <c r="L21" s="10" t="s">
        <v>21</v>
      </c>
    </row>
    <row r="22" customFormat="false" ht="78" hidden="false" customHeight="true" outlineLevel="0" collapsed="false">
      <c r="A22" s="4" t="s">
        <v>95</v>
      </c>
      <c r="B22" s="4" t="s">
        <v>104</v>
      </c>
      <c r="C22" s="11" t="s">
        <v>29</v>
      </c>
      <c r="D22" s="4" t="s">
        <v>105</v>
      </c>
      <c r="E22" s="6" t="n">
        <v>2</v>
      </c>
      <c r="F22" s="7" t="n">
        <v>45</v>
      </c>
      <c r="G22" s="8" t="n">
        <f aca="false">E22*F22</f>
        <v>90</v>
      </c>
      <c r="H22" s="6" t="n">
        <v>1</v>
      </c>
      <c r="I22" s="9" t="s">
        <v>106</v>
      </c>
      <c r="J22" s="9" t="s">
        <v>107</v>
      </c>
      <c r="K22" s="9" t="s">
        <v>108</v>
      </c>
      <c r="L22" s="10" t="s">
        <v>21</v>
      </c>
    </row>
    <row r="23" customFormat="false" ht="78" hidden="false" customHeight="true" outlineLevel="0" collapsed="false">
      <c r="A23" s="4" t="s">
        <v>95</v>
      </c>
      <c r="B23" s="4" t="s">
        <v>109</v>
      </c>
      <c r="C23" s="5" t="s">
        <v>16</v>
      </c>
      <c r="D23" s="4" t="s">
        <v>17</v>
      </c>
      <c r="E23" s="6" t="n">
        <v>1</v>
      </c>
      <c r="F23" s="7" t="n">
        <v>59</v>
      </c>
      <c r="G23" s="8" t="n">
        <f aca="false">E23*F23</f>
        <v>59</v>
      </c>
      <c r="H23" s="6" t="n">
        <v>1</v>
      </c>
      <c r="I23" s="9" t="s">
        <v>110</v>
      </c>
      <c r="J23" s="9" t="s">
        <v>111</v>
      </c>
      <c r="K23" s="9" t="s">
        <v>112</v>
      </c>
      <c r="L23" s="10" t="s">
        <v>21</v>
      </c>
    </row>
    <row r="24" customFormat="false" ht="78" hidden="false" customHeight="true" outlineLevel="0" collapsed="false">
      <c r="A24" s="4" t="s">
        <v>95</v>
      </c>
      <c r="B24" s="4" t="s">
        <v>113</v>
      </c>
      <c r="C24" s="5" t="s">
        <v>16</v>
      </c>
      <c r="D24" s="4" t="s">
        <v>17</v>
      </c>
      <c r="E24" s="6" t="n">
        <v>1</v>
      </c>
      <c r="F24" s="7" t="n">
        <v>59</v>
      </c>
      <c r="G24" s="8" t="n">
        <f aca="false">E24*F24</f>
        <v>59</v>
      </c>
      <c r="H24" s="6" t="n">
        <v>1</v>
      </c>
      <c r="I24" s="9" t="s">
        <v>114</v>
      </c>
      <c r="J24" s="9" t="s">
        <v>115</v>
      </c>
      <c r="K24" s="9" t="s">
        <v>17</v>
      </c>
      <c r="L24" s="10" t="s">
        <v>21</v>
      </c>
    </row>
    <row r="25" customFormat="false" ht="78" hidden="false" customHeight="true" outlineLevel="0" collapsed="false">
      <c r="A25" s="4" t="s">
        <v>75</v>
      </c>
      <c r="B25" s="4" t="s">
        <v>116</v>
      </c>
      <c r="C25" s="11" t="s">
        <v>29</v>
      </c>
      <c r="D25" s="4" t="s">
        <v>117</v>
      </c>
      <c r="E25" s="6" t="n">
        <v>1</v>
      </c>
      <c r="F25" s="7" t="n">
        <v>215</v>
      </c>
      <c r="G25" s="8" t="n">
        <f aca="false">E25*F25</f>
        <v>215</v>
      </c>
      <c r="H25" s="6" t="n">
        <v>1</v>
      </c>
      <c r="I25" s="9" t="s">
        <v>118</v>
      </c>
      <c r="J25" s="9" t="s">
        <v>119</v>
      </c>
      <c r="K25" s="9" t="s">
        <v>120</v>
      </c>
      <c r="L25" s="10" t="s">
        <v>21</v>
      </c>
    </row>
    <row r="26" customFormat="false" ht="78" hidden="false" customHeight="true" outlineLevel="0" collapsed="false">
      <c r="A26" s="4" t="s">
        <v>75</v>
      </c>
      <c r="B26" s="4" t="s">
        <v>121</v>
      </c>
      <c r="C26" s="5" t="s">
        <v>16</v>
      </c>
      <c r="D26" s="4" t="s">
        <v>122</v>
      </c>
      <c r="E26" s="6" t="n">
        <v>1</v>
      </c>
      <c r="F26" s="7" t="n">
        <v>50</v>
      </c>
      <c r="G26" s="8" t="n">
        <f aca="false">E26*F26</f>
        <v>50</v>
      </c>
      <c r="H26" s="6" t="n">
        <v>1</v>
      </c>
      <c r="I26" s="9" t="s">
        <v>123</v>
      </c>
      <c r="J26" s="9" t="s">
        <v>124</v>
      </c>
      <c r="K26" s="9" t="s">
        <v>125</v>
      </c>
      <c r="L26" s="10" t="s">
        <v>21</v>
      </c>
    </row>
    <row r="27" customFormat="false" ht="78" hidden="false" customHeight="true" outlineLevel="0" collapsed="false">
      <c r="A27" s="4" t="s">
        <v>75</v>
      </c>
      <c r="B27" s="4" t="s">
        <v>126</v>
      </c>
      <c r="C27" s="5" t="s">
        <v>16</v>
      </c>
      <c r="D27" s="4" t="s">
        <v>127</v>
      </c>
      <c r="E27" s="6" t="n">
        <v>1</v>
      </c>
      <c r="F27" s="7" t="n">
        <v>99</v>
      </c>
      <c r="G27" s="8" t="n">
        <f aca="false">E27*F27</f>
        <v>99</v>
      </c>
      <c r="H27" s="6" t="n">
        <v>1</v>
      </c>
      <c r="I27" s="9" t="s">
        <v>128</v>
      </c>
      <c r="J27" s="9" t="s">
        <v>129</v>
      </c>
      <c r="K27" s="9" t="s">
        <v>130</v>
      </c>
      <c r="L27" s="10" t="s">
        <v>21</v>
      </c>
    </row>
    <row r="28" customFormat="false" ht="78" hidden="false" customHeight="true" outlineLevel="0" collapsed="false">
      <c r="A28" s="4" t="s">
        <v>95</v>
      </c>
      <c r="B28" s="4" t="s">
        <v>131</v>
      </c>
      <c r="C28" s="11" t="s">
        <v>29</v>
      </c>
      <c r="D28" s="4" t="s">
        <v>132</v>
      </c>
      <c r="E28" s="6" t="n">
        <v>1</v>
      </c>
      <c r="F28" s="7" t="n">
        <v>271</v>
      </c>
      <c r="G28" s="8" t="n">
        <f aca="false">E28*F28</f>
        <v>271</v>
      </c>
      <c r="H28" s="6" t="n">
        <v>1</v>
      </c>
      <c r="I28" s="9" t="s">
        <v>133</v>
      </c>
      <c r="J28" s="9" t="s">
        <v>134</v>
      </c>
      <c r="K28" s="9" t="s">
        <v>135</v>
      </c>
      <c r="L28" s="10" t="s">
        <v>21</v>
      </c>
    </row>
    <row r="29" customFormat="false" ht="78" hidden="false" customHeight="true" outlineLevel="0" collapsed="false">
      <c r="A29" s="4" t="s">
        <v>95</v>
      </c>
      <c r="B29" s="4" t="s">
        <v>136</v>
      </c>
      <c r="C29" s="11" t="s">
        <v>29</v>
      </c>
      <c r="D29" s="4" t="s">
        <v>137</v>
      </c>
      <c r="E29" s="6" t="n">
        <v>1</v>
      </c>
      <c r="F29" s="7" t="n">
        <v>25</v>
      </c>
      <c r="G29" s="8" t="n">
        <f aca="false">E29*F29</f>
        <v>25</v>
      </c>
      <c r="H29" s="6" t="n">
        <v>2</v>
      </c>
      <c r="I29" s="9" t="s">
        <v>138</v>
      </c>
      <c r="J29" s="9" t="s">
        <v>139</v>
      </c>
      <c r="K29" s="9" t="s">
        <v>140</v>
      </c>
      <c r="L29" s="10" t="s">
        <v>21</v>
      </c>
    </row>
    <row r="30" customFormat="false" ht="78" hidden="false" customHeight="true" outlineLevel="0" collapsed="false">
      <c r="A30" s="4" t="s">
        <v>95</v>
      </c>
      <c r="B30" s="4" t="s">
        <v>141</v>
      </c>
      <c r="C30" s="5" t="s">
        <v>16</v>
      </c>
      <c r="D30" s="4" t="s">
        <v>17</v>
      </c>
      <c r="E30" s="6" t="n">
        <v>1</v>
      </c>
      <c r="F30" s="7" t="n">
        <v>59</v>
      </c>
      <c r="G30" s="8" t="n">
        <f aca="false">E30*F30</f>
        <v>59</v>
      </c>
      <c r="H30" s="6" t="n">
        <v>1</v>
      </c>
      <c r="I30" s="9" t="s">
        <v>142</v>
      </c>
      <c r="J30" s="9" t="s">
        <v>143</v>
      </c>
      <c r="K30" s="9" t="s">
        <v>144</v>
      </c>
      <c r="L30" s="10" t="s">
        <v>21</v>
      </c>
    </row>
    <row r="32" customFormat="false" ht="15" hidden="false" customHeight="false" outlineLevel="0" collapsed="false">
      <c r="B32" s="12" t="s">
        <v>145</v>
      </c>
      <c r="G32" s="13" t="n">
        <f aca="false">SUM(G5:G30)</f>
        <v>13648</v>
      </c>
    </row>
    <row r="33" customFormat="false" ht="15" hidden="false" customHeight="false" outlineLevel="0" collapsed="false">
      <c r="B33" s="14" t="s">
        <v>146</v>
      </c>
      <c r="G33" s="15" t="n">
        <f aca="false">SUMIFS(G5:G30,C5:C30,"Circuit Rocks")</f>
        <v>8766</v>
      </c>
    </row>
    <row r="34" customFormat="false" ht="15" hidden="false" customHeight="false" outlineLevel="0" collapsed="false">
      <c r="B34" s="14" t="s">
        <v>147</v>
      </c>
      <c r="G34" s="15" t="n">
        <f aca="false">SUMIFS(G5:G30,C5:C30,"Makerlab")</f>
        <v>4882</v>
      </c>
    </row>
    <row r="36" customFormat="false" ht="15" hidden="false" customHeight="false" outlineLevel="0" collapsed="false">
      <c r="B36" s="12" t="s">
        <v>148</v>
      </c>
      <c r="G36" s="13" t="n">
        <f aca="false">SUMIFS(G5:G30,H5:H30,1)</f>
        <v>3153</v>
      </c>
    </row>
    <row r="37" customFormat="false" ht="15" hidden="false" customHeight="false" outlineLevel="0" collapsed="false">
      <c r="B37" s="12" t="s">
        <v>149</v>
      </c>
      <c r="G37" s="13" t="n">
        <f aca="false">SUMIFS(G5:G30,H5:H30,2)</f>
        <v>10495</v>
      </c>
    </row>
    <row r="39" customFormat="false" ht="15" hidden="false" customHeight="false" outlineLevel="0" collapsed="false">
      <c r="B39" s="2" t="s">
        <v>150</v>
      </c>
    </row>
    <row r="40" customFormat="false" ht="15" hidden="false" customHeight="false" outlineLevel="0" collapsed="false">
      <c r="B40" s="2" t="s">
        <v>151</v>
      </c>
    </row>
  </sheetData>
  <hyperlinks>
    <hyperlink ref="L5" r:id="rId1" display="Open product page"/>
    <hyperlink ref="L6" r:id="rId2" display="Open product page"/>
    <hyperlink ref="L7" r:id="rId3" display="Open product page"/>
    <hyperlink ref="L8" r:id="rId4" display="Open product page"/>
    <hyperlink ref="L9" r:id="rId5" display="Open product page"/>
    <hyperlink ref="L10" r:id="rId6" display="Open product page"/>
    <hyperlink ref="L11" r:id="rId7" display="Open product page"/>
    <hyperlink ref="L12" r:id="rId8" display="Open product page"/>
    <hyperlink ref="L13" r:id="rId9" display="Open product page"/>
    <hyperlink ref="L14" r:id="rId10" display="Open product page"/>
    <hyperlink ref="L15" r:id="rId11" display="Open product page"/>
    <hyperlink ref="L16" r:id="rId12" display="Open product page"/>
    <hyperlink ref="L17" r:id="rId13" display="Open product page"/>
    <hyperlink ref="L18" r:id="rId14" display="Open product page"/>
    <hyperlink ref="L19" r:id="rId15" display="Open product page"/>
    <hyperlink ref="L20" r:id="rId16" display="Open product page"/>
    <hyperlink ref="L21" r:id="rId17" display="Open product page"/>
    <hyperlink ref="L22" r:id="rId18" display="Open product page"/>
    <hyperlink ref="L23" r:id="rId19" display="Open product page"/>
    <hyperlink ref="L24" r:id="rId20" display="Open product page"/>
    <hyperlink ref="L25" r:id="rId21" display="Open product page"/>
    <hyperlink ref="L26" r:id="rId22" display="Open product page"/>
    <hyperlink ref="L27" r:id="rId23" display="Open product page"/>
    <hyperlink ref="L28" r:id="rId24" display="Open product page"/>
    <hyperlink ref="L29" r:id="rId25" display="Open product page"/>
    <hyperlink ref="L30" r:id="rId26" display="Open product pag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2"/>
    <col collapsed="false" customWidth="true" hidden="false" outlineLevel="0" max="3" min="3" style="0" width="9"/>
    <col collapsed="false" customWidth="true" hidden="false" outlineLevel="0" max="4" min="4" style="0" width="20"/>
    <col collapsed="false" customWidth="true" hidden="false" outlineLevel="0" max="5" min="5" style="0" width="16"/>
    <col collapsed="false" customWidth="true" hidden="false" outlineLevel="0" max="6" min="6" style="0" width="14"/>
  </cols>
  <sheetData>
    <row r="1" customFormat="false" ht="17.35" hidden="false" customHeight="false" outlineLevel="0" collapsed="false">
      <c r="A1" s="1" t="s">
        <v>152</v>
      </c>
    </row>
    <row r="2" customFormat="false" ht="15" hidden="false" customHeight="false" outlineLevel="0" collapsed="false">
      <c r="A2" s="2" t="s">
        <v>153</v>
      </c>
    </row>
    <row r="4" customFormat="false" ht="23.85" hidden="false" customHeight="false" outlineLevel="0" collapsed="false">
      <c r="A4" s="16" t="s">
        <v>4</v>
      </c>
      <c r="B4" s="16" t="s">
        <v>154</v>
      </c>
      <c r="C4" s="16" t="s">
        <v>155</v>
      </c>
      <c r="D4" s="16" t="s">
        <v>156</v>
      </c>
      <c r="E4" s="16" t="s">
        <v>157</v>
      </c>
      <c r="F4" s="16" t="s">
        <v>158</v>
      </c>
    </row>
    <row r="5" customFormat="false" ht="30" hidden="false" customHeight="true" outlineLevel="0" collapsed="false">
      <c r="A5" s="17" t="s">
        <v>29</v>
      </c>
      <c r="B5" s="9" t="s">
        <v>159</v>
      </c>
      <c r="C5" s="4" t="n">
        <f aca="false">SUMIFS('Parts &amp; Costs'!E5:E30,'Parts &amp; Costs'!C5:C30,A5)</f>
        <v>15</v>
      </c>
      <c r="D5" s="8" t="n">
        <f aca="false">SUMIFS('Parts &amp; Costs'!G5:G30,'Parts &amp; Costs'!C5:C30,A5)</f>
        <v>8766</v>
      </c>
      <c r="E5" s="7" t="n">
        <v>8255</v>
      </c>
      <c r="F5" s="8" t="n">
        <f aca="false">D5-E5</f>
        <v>511</v>
      </c>
    </row>
    <row r="6" customFormat="false" ht="30" hidden="false" customHeight="true" outlineLevel="0" collapsed="false">
      <c r="A6" s="17" t="s">
        <v>16</v>
      </c>
      <c r="B6" s="9" t="s">
        <v>160</v>
      </c>
      <c r="C6" s="4" t="n">
        <f aca="false">SUMIFS('Parts &amp; Costs'!E5:E30,'Parts &amp; Costs'!C5:C30,A6)</f>
        <v>15</v>
      </c>
      <c r="D6" s="8" t="n">
        <f aca="false">SUMIFS('Parts &amp; Costs'!G5:G30,'Parts &amp; Costs'!C5:C30,A6)</f>
        <v>4882</v>
      </c>
      <c r="E6" s="7" t="n">
        <v>4543</v>
      </c>
      <c r="F6" s="8" t="n">
        <f aca="false">D6-E6</f>
        <v>339</v>
      </c>
    </row>
    <row r="7" customFormat="false" ht="15" hidden="false" customHeight="false" outlineLevel="0" collapsed="false">
      <c r="A7" s="18" t="s">
        <v>161</v>
      </c>
      <c r="B7" s="19"/>
      <c r="C7" s="18" t="n">
        <f aca="false">SUM(C5:C6)</f>
        <v>30</v>
      </c>
      <c r="D7" s="20" t="n">
        <f aca="false">SUM(D5:D6)</f>
        <v>13648</v>
      </c>
      <c r="E7" s="20" t="n">
        <f aca="false">SUM(E5:E6)</f>
        <v>12798</v>
      </c>
      <c r="F7" s="20" t="n">
        <f aca="false">SUM(F5:F6)</f>
        <v>850</v>
      </c>
    </row>
    <row r="9" customFormat="false" ht="15" hidden="false" customHeight="false" outlineLevel="0" collapsed="false">
      <c r="A9" s="2" t="s">
        <v>162</v>
      </c>
    </row>
  </sheetData>
  <hyperlinks>
    <hyperlink ref="A5" r:id="rId1" display="Circuit Rocks"/>
    <hyperlink ref="A6" r:id="rId2" display="Makerlab"/>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2"/>
    <col collapsed="false" customWidth="true" hidden="false" outlineLevel="0" max="3" min="3" style="0" width="15"/>
    <col collapsed="false" customWidth="true" hidden="false" outlineLevel="0" max="4" min="4" style="0" width="11"/>
    <col collapsed="false" customWidth="true" hidden="false" outlineLevel="0" max="5" min="5" style="0" width="62"/>
  </cols>
  <sheetData>
    <row r="1" customFormat="false" ht="17.35" hidden="false" customHeight="false" outlineLevel="0" collapsed="false">
      <c r="A1" s="1" t="s">
        <v>163</v>
      </c>
    </row>
    <row r="2" customFormat="false" ht="15" hidden="false" customHeight="false" outlineLevel="0" collapsed="false">
      <c r="A2" s="2" t="s">
        <v>164</v>
      </c>
    </row>
    <row r="4" customFormat="false" ht="15" hidden="false" customHeight="false" outlineLevel="0" collapsed="false">
      <c r="A4" s="16" t="s">
        <v>9</v>
      </c>
      <c r="B4" s="16" t="s">
        <v>165</v>
      </c>
      <c r="C4" s="16" t="s">
        <v>166</v>
      </c>
      <c r="D4" s="16" t="s">
        <v>167</v>
      </c>
      <c r="E4" s="16" t="s">
        <v>168</v>
      </c>
    </row>
    <row r="5" customFormat="false" ht="66" hidden="false" customHeight="true" outlineLevel="0" collapsed="false">
      <c r="A5" s="21" t="s">
        <v>169</v>
      </c>
      <c r="B5" s="9" t="s">
        <v>170</v>
      </c>
      <c r="C5" s="22" t="n">
        <f aca="false">SUMIFS('Parts &amp; Costs'!G5:G30,'Parts &amp; Costs'!H5:H30,1)</f>
        <v>3153</v>
      </c>
      <c r="D5" s="23" t="n">
        <f aca="false">C5/$C$7</f>
        <v>0.23102286049238</v>
      </c>
      <c r="E5" s="9" t="s">
        <v>171</v>
      </c>
    </row>
    <row r="6" customFormat="false" ht="66" hidden="false" customHeight="true" outlineLevel="0" collapsed="false">
      <c r="A6" s="24" t="s">
        <v>172</v>
      </c>
      <c r="B6" s="9" t="s">
        <v>173</v>
      </c>
      <c r="C6" s="22" t="n">
        <f aca="false">SUMIFS('Parts &amp; Costs'!G5:G30,'Parts &amp; Costs'!H5:H30,2)</f>
        <v>10495</v>
      </c>
      <c r="D6" s="23" t="n">
        <f aca="false">C6/$C$7</f>
        <v>0.76897713950762</v>
      </c>
      <c r="E6" s="9" t="s">
        <v>174</v>
      </c>
    </row>
    <row r="7" customFormat="false" ht="66" hidden="false" customHeight="true" outlineLevel="0" collapsed="false">
      <c r="A7" s="25" t="s">
        <v>161</v>
      </c>
      <c r="B7" s="26"/>
      <c r="C7" s="22" t="n">
        <f aca="false">SUM(C5:C6)</f>
        <v>13648</v>
      </c>
      <c r="D7" s="27" t="n">
        <f aca="false">SUM(D5:D6)</f>
        <v>1</v>
      </c>
      <c r="E7" s="2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4"/>
    <col collapsed="false" customWidth="true" hidden="false" outlineLevel="0" max="4" min="4" style="0" width="80"/>
  </cols>
  <sheetData>
    <row r="1" customFormat="false" ht="17.35" hidden="false" customHeight="false" outlineLevel="0" collapsed="false">
      <c r="A1" s="1" t="s">
        <v>175</v>
      </c>
    </row>
    <row r="2" customFormat="false" ht="15" hidden="false" customHeight="false" outlineLevel="0" collapsed="false">
      <c r="A2" s="2" t="s">
        <v>176</v>
      </c>
    </row>
    <row r="4" customFormat="false" ht="15" hidden="false" customHeight="false" outlineLevel="0" collapsed="false">
      <c r="A4" s="16" t="s">
        <v>3</v>
      </c>
      <c r="B4" s="16" t="s">
        <v>2</v>
      </c>
      <c r="C4" s="16" t="s">
        <v>177</v>
      </c>
      <c r="D4" s="16" t="s">
        <v>178</v>
      </c>
    </row>
    <row r="5" customFormat="false" ht="31.5" hidden="false" customHeight="true" outlineLevel="0" collapsed="false">
      <c r="A5" s="9" t="s">
        <v>179</v>
      </c>
      <c r="B5" s="9" t="s">
        <v>180</v>
      </c>
      <c r="C5" s="28" t="n">
        <v>500</v>
      </c>
      <c r="D5" s="9" t="s">
        <v>181</v>
      </c>
    </row>
    <row r="6" customFormat="false" ht="31.5" hidden="false" customHeight="true" outlineLevel="0" collapsed="false">
      <c r="A6" s="9" t="s">
        <v>182</v>
      </c>
      <c r="B6" s="9" t="s">
        <v>180</v>
      </c>
      <c r="C6" s="28" t="n">
        <v>1200</v>
      </c>
      <c r="D6" s="9" t="s">
        <v>183</v>
      </c>
    </row>
    <row r="7" customFormat="false" ht="31.5" hidden="false" customHeight="true" outlineLevel="0" collapsed="false">
      <c r="A7" s="9" t="s">
        <v>184</v>
      </c>
      <c r="B7" s="9" t="s">
        <v>180</v>
      </c>
      <c r="C7" s="28" t="n">
        <v>200</v>
      </c>
      <c r="D7" s="9" t="s">
        <v>185</v>
      </c>
    </row>
    <row r="8" customFormat="false" ht="31.5" hidden="false" customHeight="true" outlineLevel="0" collapsed="false">
      <c r="A8" s="9" t="s">
        <v>186</v>
      </c>
      <c r="B8" s="9" t="s">
        <v>180</v>
      </c>
      <c r="C8" s="28" t="n">
        <v>400</v>
      </c>
      <c r="D8" s="9" t="s">
        <v>187</v>
      </c>
    </row>
    <row r="9" customFormat="false" ht="31.5" hidden="false" customHeight="true" outlineLevel="0" collapsed="false">
      <c r="A9" s="9" t="s">
        <v>188</v>
      </c>
      <c r="B9" s="9" t="s">
        <v>180</v>
      </c>
      <c r="C9" s="28" t="n">
        <v>450</v>
      </c>
      <c r="D9" s="9" t="s">
        <v>189</v>
      </c>
    </row>
    <row r="10" customFormat="false" ht="31.5" hidden="false" customHeight="true" outlineLevel="0" collapsed="false">
      <c r="A10" s="9" t="s">
        <v>190</v>
      </c>
      <c r="B10" s="9" t="s">
        <v>180</v>
      </c>
      <c r="C10" s="28" t="n">
        <v>150</v>
      </c>
      <c r="D10" s="9" t="s">
        <v>191</v>
      </c>
    </row>
    <row r="11" customFormat="false" ht="31.5" hidden="false" customHeight="true" outlineLevel="0" collapsed="false">
      <c r="A11" s="9" t="s">
        <v>192</v>
      </c>
      <c r="B11" s="9" t="s">
        <v>193</v>
      </c>
      <c r="C11" s="28" t="n">
        <v>100</v>
      </c>
      <c r="D11" s="9" t="s">
        <v>194</v>
      </c>
    </row>
    <row r="12" customFormat="false" ht="31.5" hidden="false" customHeight="true" outlineLevel="0" collapsed="false">
      <c r="A12" s="9" t="s">
        <v>195</v>
      </c>
      <c r="B12" s="9" t="s">
        <v>196</v>
      </c>
      <c r="C12" s="28" t="n">
        <v>150</v>
      </c>
      <c r="D12" s="9" t="s">
        <v>197</v>
      </c>
    </row>
    <row r="13" customFormat="false" ht="31.5" hidden="false" customHeight="true" outlineLevel="0" collapsed="false">
      <c r="A13" s="9" t="s">
        <v>198</v>
      </c>
      <c r="B13" s="9" t="s">
        <v>196</v>
      </c>
      <c r="C13" s="28" t="n">
        <v>200</v>
      </c>
      <c r="D13" s="9" t="s">
        <v>199</v>
      </c>
    </row>
    <row r="14" customFormat="false" ht="31.5" hidden="false" customHeight="true" outlineLevel="0" collapsed="false">
      <c r="A14" s="9" t="s">
        <v>200</v>
      </c>
      <c r="B14" s="9" t="s">
        <v>196</v>
      </c>
      <c r="C14" s="28" t="n">
        <v>150</v>
      </c>
      <c r="D14" s="9" t="s">
        <v>201</v>
      </c>
    </row>
    <row r="15" customFormat="false" ht="31.5" hidden="false" customHeight="true" outlineLevel="0" collapsed="false">
      <c r="A15" s="9" t="s">
        <v>202</v>
      </c>
      <c r="B15" s="9" t="s">
        <v>95</v>
      </c>
      <c r="C15" s="28" t="n">
        <v>200</v>
      </c>
      <c r="D15" s="9" t="s">
        <v>203</v>
      </c>
    </row>
    <row r="16" customFormat="false" ht="31.5" hidden="false" customHeight="true" outlineLevel="0" collapsed="false">
      <c r="A16" s="9" t="s">
        <v>204</v>
      </c>
      <c r="B16" s="9" t="s">
        <v>49</v>
      </c>
      <c r="C16" s="28" t="n">
        <v>50</v>
      </c>
      <c r="D16" s="9" t="s">
        <v>205</v>
      </c>
    </row>
    <row r="17" customFormat="false" ht="31.5" hidden="false" customHeight="true" outlineLevel="0" collapsed="false">
      <c r="A17" s="9" t="s">
        <v>206</v>
      </c>
      <c r="B17" s="9" t="s">
        <v>49</v>
      </c>
      <c r="C17" s="28" t="n">
        <v>400</v>
      </c>
      <c r="D17" s="9" t="s">
        <v>207</v>
      </c>
    </row>
    <row r="18" customFormat="false" ht="31.5" hidden="false" customHeight="true" outlineLevel="0" collapsed="false">
      <c r="A18" s="9" t="s">
        <v>208</v>
      </c>
      <c r="B18" s="9" t="s">
        <v>196</v>
      </c>
      <c r="C18" s="28" t="n">
        <v>150</v>
      </c>
      <c r="D18" s="9" t="s">
        <v>209</v>
      </c>
    </row>
    <row r="19" customFormat="false" ht="31.5" hidden="false" customHeight="true" outlineLevel="0" collapsed="false">
      <c r="A19" s="9" t="s">
        <v>210</v>
      </c>
      <c r="B19" s="9" t="s">
        <v>64</v>
      </c>
      <c r="C19" s="28" t="n">
        <v>250</v>
      </c>
      <c r="D19" s="9" t="s">
        <v>211</v>
      </c>
    </row>
    <row r="20" customFormat="false" ht="31.5" hidden="false" customHeight="true" outlineLevel="0" collapsed="false">
      <c r="A20" s="9" t="s">
        <v>212</v>
      </c>
      <c r="B20" s="9" t="s">
        <v>196</v>
      </c>
      <c r="C20" s="28" t="n">
        <v>100</v>
      </c>
      <c r="D20" s="9" t="s">
        <v>213</v>
      </c>
    </row>
    <row r="21" customFormat="false" ht="15" hidden="false" customHeight="false" outlineLevel="0" collapsed="false">
      <c r="A21" s="18" t="s">
        <v>214</v>
      </c>
      <c r="B21" s="19"/>
      <c r="C21" s="20" t="n">
        <f aca="false">SUM(C5:C20)</f>
        <v>4650</v>
      </c>
      <c r="D21" s="19"/>
    </row>
    <row r="23" customFormat="false" ht="15" hidden="false" customHeight="false" outlineLevel="0" collapsed="false">
      <c r="A23" s="2"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6"/>
    <col collapsed="false" customWidth="true" hidden="false" outlineLevel="0" max="3" min="3" style="0" width="86"/>
  </cols>
  <sheetData>
    <row r="1" customFormat="false" ht="17.35" hidden="false" customHeight="false" outlineLevel="0" collapsed="false">
      <c r="A1" s="1" t="s">
        <v>216</v>
      </c>
    </row>
    <row r="2" customFormat="false" ht="15" hidden="false" customHeight="false" outlineLevel="0" collapsed="false">
      <c r="A2" s="2" t="s">
        <v>217</v>
      </c>
    </row>
    <row r="4" customFormat="false" ht="15" hidden="false" customHeight="false" outlineLevel="0" collapsed="false">
      <c r="A4" s="16" t="s">
        <v>218</v>
      </c>
      <c r="B4" s="16" t="s">
        <v>219</v>
      </c>
      <c r="C4" s="16" t="s">
        <v>220</v>
      </c>
    </row>
    <row r="5" customFormat="false" ht="72" hidden="false" customHeight="true" outlineLevel="0" collapsed="false">
      <c r="A5" s="25" t="s">
        <v>221</v>
      </c>
      <c r="B5" s="9" t="s">
        <v>222</v>
      </c>
      <c r="C5" s="9" t="s">
        <v>223</v>
      </c>
    </row>
    <row r="6" customFormat="false" ht="72" hidden="false" customHeight="true" outlineLevel="0" collapsed="false">
      <c r="A6" s="25" t="s">
        <v>224</v>
      </c>
      <c r="B6" s="9" t="s">
        <v>225</v>
      </c>
      <c r="C6" s="9" t="s">
        <v>226</v>
      </c>
    </row>
    <row r="7" customFormat="false" ht="72" hidden="false" customHeight="true" outlineLevel="0" collapsed="false">
      <c r="A7" s="25" t="s">
        <v>227</v>
      </c>
      <c r="B7" s="9" t="s">
        <v>228</v>
      </c>
      <c r="C7" s="9" t="s">
        <v>229</v>
      </c>
    </row>
    <row r="8" customFormat="false" ht="72" hidden="false" customHeight="true" outlineLevel="0" collapsed="false">
      <c r="A8" s="25" t="s">
        <v>230</v>
      </c>
      <c r="B8" s="9" t="s">
        <v>231</v>
      </c>
      <c r="C8" s="9" t="s">
        <v>232</v>
      </c>
    </row>
    <row r="9" customFormat="false" ht="72" hidden="false" customHeight="true" outlineLevel="0" collapsed="false">
      <c r="A9" s="25" t="s">
        <v>233</v>
      </c>
      <c r="B9" s="9" t="s">
        <v>234</v>
      </c>
      <c r="C9" s="9" t="s">
        <v>235</v>
      </c>
    </row>
    <row r="10" customFormat="false" ht="72" hidden="false" customHeight="true" outlineLevel="0" collapsed="false">
      <c r="A10" s="25" t="s">
        <v>236</v>
      </c>
      <c r="B10" s="9" t="s">
        <v>237</v>
      </c>
      <c r="C10" s="9" t="s">
        <v>238</v>
      </c>
    </row>
    <row r="11" customFormat="false" ht="72" hidden="false" customHeight="true" outlineLevel="0" collapsed="false">
      <c r="A11" s="25" t="s">
        <v>239</v>
      </c>
      <c r="B11" s="9" t="s">
        <v>240</v>
      </c>
      <c r="C11" s="9" t="s">
        <v>241</v>
      </c>
    </row>
    <row r="12" customFormat="false" ht="72" hidden="false" customHeight="true" outlineLevel="0" collapsed="false">
      <c r="A12" s="24" t="s">
        <v>242</v>
      </c>
      <c r="B12" s="29" t="s">
        <v>243</v>
      </c>
      <c r="C12" s="29" t="s">
        <v>244</v>
      </c>
    </row>
    <row r="13" customFormat="false" ht="72" hidden="false" customHeight="true" outlineLevel="0" collapsed="false">
      <c r="A13" s="24" t="s">
        <v>245</v>
      </c>
      <c r="B13" s="29" t="s">
        <v>246</v>
      </c>
      <c r="C13" s="29" t="s">
        <v>247</v>
      </c>
    </row>
    <row r="14" customFormat="false" ht="72" hidden="false" customHeight="true" outlineLevel="0" collapsed="false">
      <c r="A14" s="25" t="s">
        <v>248</v>
      </c>
      <c r="B14" s="9" t="s">
        <v>249</v>
      </c>
      <c r="C14" s="9" t="s">
        <v>250</v>
      </c>
    </row>
    <row r="15" customFormat="false" ht="72" hidden="false" customHeight="true" outlineLevel="0" collapsed="false">
      <c r="A15" s="25" t="s">
        <v>251</v>
      </c>
      <c r="B15" s="9" t="s">
        <v>252</v>
      </c>
      <c r="C15" s="9" t="s">
        <v>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2026-08-04T14:02:02Z</dcterms:created>
  <dc:creator>openpyxl</dc:creator>
  <dc:description/>
  <dc:language>en-US</dc:language>
  <cp:lastModifiedBy/>
  <dcterms:modified xsi:type="dcterms:W3CDTF">2026-08-04T14:02:02Z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